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C Target 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<sst xmlns="http://schemas.openxmlformats.org/spreadsheetml/2006/main" count="155" uniqueCount="136">
  <si>
    <t xml:space="preserve">Milky Way Globular Cluster Target List -- Diversity Sample for Gaia DR3 Kinematics Project</t>
  </si>
  <si>
    <t xml:space="preserve">Source: Harris, W.E. 1996, AJ, 112, 1487 (December 2010 edition). Tidal radius computed as r_t = r_c x 10^c (live formula), per Harris's own definition.</t>
  </si>
  <si>
    <t xml:space="preserve">Cluster ID</t>
  </si>
  <si>
    <t xml:space="preserve">Common Name</t>
  </si>
  <si>
    <t xml:space="preserve">RA (J2000, sexagesimal)</t>
  </si>
  <si>
    <t xml:space="preserve">Dec (J2000, sexagesimal)</t>
  </si>
  <si>
    <t xml:space="preserve">RA (deg)</t>
  </si>
  <si>
    <t xml:space="preserve">Dec (deg)</t>
  </si>
  <si>
    <t xml:space="preserve">Core radius r_c (arcmin)</t>
  </si>
  <si>
    <t xml:space="preserve">Half-light radius r_h (arcmin)</t>
  </si>
  <si>
    <t xml:space="preserve">Concentration c = log10(r_t/r_c)</t>
  </si>
  <si>
    <t xml:space="preserve">Tidal radius r_t (arcmin)</t>
  </si>
  <si>
    <t xml:space="preserve">[Fe/H] (dex)</t>
  </si>
  <si>
    <t xml:space="preserve">Heliocentric distance (kpc)</t>
  </si>
  <si>
    <t xml:space="preserve">Category / notes</t>
  </si>
  <si>
    <t xml:space="preserve">Rotation status (Bianchini/Sollima)</t>
  </si>
  <si>
    <t xml:space="preserve">NGC 5139</t>
  </si>
  <si>
    <t xml:space="preserve">Omega Centauri</t>
  </si>
  <si>
    <t xml:space="preserve">13 26 47.24</t>
  </si>
  <si>
    <t xml:space="preserve">-47 28 46.5</t>
  </si>
  <si>
    <t xml:space="preserve">Capstone target: Gaia-Enceladus/Sausage relic; multi-population, iron-complex</t>
  </si>
  <si>
    <t xml:space="preserve">Confirmed rotator</t>
  </si>
  <si>
    <t xml:space="preserve">NGC 104</t>
  </si>
  <si>
    <t xml:space="preserve">47 Tucanae</t>
  </si>
  <si>
    <t xml:space="preserve">00 24 05.67</t>
  </si>
  <si>
    <t xml:space="preserve">-72 04 52.6</t>
  </si>
  <si>
    <t xml:space="preserve">Massive; disk/bulge-like metallicity</t>
  </si>
  <si>
    <t xml:space="preserve">NGC 7078</t>
  </si>
  <si>
    <t xml:space="preserve">M15</t>
  </si>
  <si>
    <t xml:space="preserve">21 29 58.33</t>
  </si>
  <si>
    <t xml:space="preserve">+12 10 01.2</t>
  </si>
  <si>
    <t xml:space="preserve">Core-collapsed; extreme metal-poor; outer halo</t>
  </si>
  <si>
    <t xml:space="preserve">NGC 7089</t>
  </si>
  <si>
    <t xml:space="preserve">M2</t>
  </si>
  <si>
    <t xml:space="preserve">21 33 27.02</t>
  </si>
  <si>
    <t xml:space="preserve">-00 49 23.7</t>
  </si>
  <si>
    <t xml:space="preserve">Moderately concentrated halo cluster</t>
  </si>
  <si>
    <t xml:space="preserve">NGC 5904</t>
  </si>
  <si>
    <t xml:space="preserve">M5</t>
  </si>
  <si>
    <t xml:space="preserve">15 18 33.22</t>
  </si>
  <si>
    <t xml:space="preserve">+02 04 51.7</t>
  </si>
  <si>
    <t xml:space="preserve">Confirmed rotator; already in pipeline priority list</t>
  </si>
  <si>
    <t xml:space="preserve">NGC 6656</t>
  </si>
  <si>
    <t xml:space="preserve">M22</t>
  </si>
  <si>
    <t xml:space="preserve">18 36 23.94</t>
  </si>
  <si>
    <t xml:space="preserve">-23 54 17.1</t>
  </si>
  <si>
    <t xml:space="preserve">Nearby; possible Gaia-Enceladus association discussed in literature</t>
  </si>
  <si>
    <t xml:space="preserve">NGC 6273</t>
  </si>
  <si>
    <t xml:space="preserve">M19</t>
  </si>
  <si>
    <t xml:space="preserve">17 02 37.80</t>
  </si>
  <si>
    <t xml:space="preserve">-26 16 04.7</t>
  </si>
  <si>
    <t xml:space="preserve">Notably flattened (high ellipticity)</t>
  </si>
  <si>
    <t xml:space="preserve">NGC 5272</t>
  </si>
  <si>
    <t xml:space="preserve">M3</t>
  </si>
  <si>
    <t xml:space="preserve">13 42 11.62</t>
  </si>
  <si>
    <t xml:space="preserve">+28 22 38.2</t>
  </si>
  <si>
    <t xml:space="preserve">Oosterhoff type I prototype</t>
  </si>
  <si>
    <t xml:space="preserve">Borderline rotator</t>
  </si>
  <si>
    <t xml:space="preserve">NGC 6752</t>
  </si>
  <si>
    <t xml:space="preserve">19 10 52.11</t>
  </si>
  <si>
    <t xml:space="preserve">-59 59 04.4</t>
  </si>
  <si>
    <t xml:space="preserve">Core-collapsed; nearby</t>
  </si>
  <si>
    <t xml:space="preserve">NGC 6809</t>
  </si>
  <si>
    <t xml:space="preserve">M55</t>
  </si>
  <si>
    <t xml:space="preserve">19 39 59.71</t>
  </si>
  <si>
    <t xml:space="preserve">-30 57 53.1</t>
  </si>
  <si>
    <t xml:space="preserve">Non-rotator control candidate; low concentration</t>
  </si>
  <si>
    <t xml:space="preserve">Borderline / non-rotator</t>
  </si>
  <si>
    <t xml:space="preserve">NGC 288</t>
  </si>
  <si>
    <t xml:space="preserve">00 52 45.24</t>
  </si>
  <si>
    <t xml:space="preserve">-26 34 57.4</t>
  </si>
  <si>
    <t xml:space="preserve">Non-rotator control; sparse; classic age-spread pair with NGC 362</t>
  </si>
  <si>
    <t xml:space="preserve">Non-rotator</t>
  </si>
  <si>
    <t xml:space="preserve">NGC 362</t>
  </si>
  <si>
    <t xml:space="preserve">01 03 14.26</t>
  </si>
  <si>
    <t xml:space="preserve">-70 50 55.6</t>
  </si>
  <si>
    <t xml:space="preserve">Core-collapsed (c:); same [Fe/H] as NGC 288 but different age</t>
  </si>
  <si>
    <t xml:space="preserve">Not tested / unclear</t>
  </si>
  <si>
    <t xml:space="preserve">NGC 6397</t>
  </si>
  <si>
    <t xml:space="preserve">17 40 42.09</t>
  </si>
  <si>
    <t xml:space="preserve">-53 40 27.6</t>
  </si>
  <si>
    <t xml:space="preserve">Nearest core-collapsed GC; extreme central density</t>
  </si>
  <si>
    <t xml:space="preserve">NGC 6341</t>
  </si>
  <si>
    <t xml:space="preserve">M92</t>
  </si>
  <si>
    <t xml:space="preserve">17 17 07.39</t>
  </si>
  <si>
    <t xml:space="preserve">+43 08 09.4</t>
  </si>
  <si>
    <t xml:space="preserve">Very metal-poor, old; minimal reddening</t>
  </si>
  <si>
    <t xml:space="preserve">NGC 5024</t>
  </si>
  <si>
    <t xml:space="preserve">M53</t>
  </si>
  <si>
    <t xml:space="preserve">13 12 55.25</t>
  </si>
  <si>
    <t xml:space="preserve">+18 10 05.4</t>
  </si>
  <si>
    <t xml:space="preserve">Outer-halo metal-poor cluster</t>
  </si>
  <si>
    <t xml:space="preserve">NGC 2419</t>
  </si>
  <si>
    <t xml:space="preserve">07 38 08.47</t>
  </si>
  <si>
    <t xml:space="preserve">+38 52 56.8</t>
  </si>
  <si>
    <t xml:space="preserve">"Intergalactic wanderer" -- extreme distance, very massive</t>
  </si>
  <si>
    <t xml:space="preserve">NGC 1851</t>
  </si>
  <si>
    <t xml:space="preserve">05 14 06.76</t>
  </si>
  <si>
    <t xml:space="preserve">-40 02 47.6</t>
  </si>
  <si>
    <t xml:space="preserve">Bimodal sub-populations; compact, high density</t>
  </si>
  <si>
    <t xml:space="preserve">NGC 6266</t>
  </si>
  <si>
    <t xml:space="preserve">M62</t>
  </si>
  <si>
    <t xml:space="preserve">17 01 12.80</t>
  </si>
  <si>
    <t xml:space="preserve">-30 06 49.4</t>
  </si>
  <si>
    <t xml:space="preserve">Core-collapsed (c:); inner bulge; high central density</t>
  </si>
  <si>
    <t xml:space="preserve">Terzan 5</t>
  </si>
  <si>
    <t xml:space="preserve">17 48 04.80</t>
  </si>
  <si>
    <t xml:space="preserve">-24 46 45</t>
  </si>
  <si>
    <t xml:space="preserve">Bulge; multi-age / multi-[Fe/H] populations; heavily reddened</t>
  </si>
  <si>
    <t xml:space="preserve">NGC 6440</t>
  </si>
  <si>
    <t xml:space="preserve">17 48 52.70</t>
  </si>
  <si>
    <t xml:space="preserve">-20 21 36.9</t>
  </si>
  <si>
    <t xml:space="preserve">Metal-rich bulge cluster; compact</t>
  </si>
  <si>
    <t xml:space="preserve">NGC 5286</t>
  </si>
  <si>
    <t xml:space="preserve">13 46 26.81</t>
  </si>
  <si>
    <t xml:space="preserve">-51 22 27.3</t>
  </si>
  <si>
    <t xml:space="preserve">Halo; discussed as possible accreted-satellite association</t>
  </si>
  <si>
    <t xml:space="preserve">NGC 6121</t>
  </si>
  <si>
    <t xml:space="preserve">M4</t>
  </si>
  <si>
    <t xml:space="preserve">16 23 35.22</t>
  </si>
  <si>
    <t xml:space="preserve">-26 31 32.7</t>
  </si>
  <si>
    <t xml:space="preserve">Nearest GC to the Sun; large angular size</t>
  </si>
  <si>
    <t xml:space="preserve">Pal 5</t>
  </si>
  <si>
    <t xml:space="preserve">15 16 05.25</t>
  </si>
  <si>
    <t xml:space="preserve">-00 06 41.8</t>
  </si>
  <si>
    <t xml:space="preserve">Extremely low-density; actively tidally disrupting (tidal tails)</t>
  </si>
  <si>
    <t xml:space="preserve">NGC 6544</t>
  </si>
  <si>
    <t xml:space="preserve">18 07 20.58</t>
  </si>
  <si>
    <t xml:space="preserve">-24 59 50.4</t>
  </si>
  <si>
    <t xml:space="preserve">Core-collapsed (c:); heavily crowded field near bulge</t>
  </si>
  <si>
    <t xml:space="preserve">Notes:</t>
  </si>
  <si>
    <t xml:space="preserve">- Highlighted row (NGC 5139 / Omega Centauri) is the project's capstone case study.</t>
  </si>
  <si>
    <t xml:space="preserve">- Tidal radius (col. J) is a live formula (r_c * 10^c); it recalculates if r_c or c is edited.</t>
  </si>
  <si>
    <t xml:space="preserve">- "Rotation status" summarizes 3-sigma proper-motion rotation detections from Bianchini et al. (2018) and Sollima et al. (2019); "Not tested / unclear" means the cluster fell outside those samples' detection thresholds, not that it necessarily lacks rotation.</t>
  </si>
  <si>
    <t xml:space="preserve">- RA/Dec are J2000 equinox, as published in the Harris catalog.</t>
  </si>
  <si>
    <t xml:space="preserve">- Structural parameters (r_c, r_h, c) are King (1962) single-mass model fits and are least reliable for core-collapsed clusters (flagged in the notes column); consult Baumgardt &amp; Hilker (2018) or McLaughlin &amp; van der Marel (2005) for refined values if needed.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</si>
</sst>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42"/>
    <col collapsed="false" customWidth="true" hidden="false" outlineLevel="0" max="14" min="14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23.85" hidden="false" customHeight="false" outlineLevel="0" collapsed="false">
      <c r="A5" s="4" t="s">
        <v>16</v>
      </c>
      <c r="B5" s="5" t="s">
        <v>17</v>
      </c>
      <c r="C5" s="4" t="s">
        <v>18</v>
      </c>
      <c r="D5" s="4" t="s">
        <v>19</v>
      </c>
      <c r="E5" s="6" t="n">
        <v>201.6968</v>
      </c>
      <c r="F5" s="6" t="n">
        <v>-47.4796</v>
      </c>
      <c r="G5" s="7" t="n">
        <v>2.37</v>
      </c>
      <c r="H5" s="7" t="n">
        <v>5</v>
      </c>
      <c r="I5" s="7" t="n">
        <v>1.31</v>
      </c>
      <c r="J5" s="8" t="n">
        <f aca="false">G5*10^I5</f>
        <v>48.3891892886679</v>
      </c>
      <c r="K5" s="7" t="n">
        <v>-1.53</v>
      </c>
      <c r="L5" s="8" t="n">
        <v>5.2</v>
      </c>
      <c r="M5" s="5" t="s">
        <v>20</v>
      </c>
      <c r="N5" s="5" t="s">
        <v>21</v>
      </c>
    </row>
    <row r="6" customFormat="false" ht="15" hidden="false" customHeight="false" outlineLevel="0" collapsed="false">
      <c r="A6" s="9" t="s">
        <v>22</v>
      </c>
      <c r="B6" s="10" t="s">
        <v>23</v>
      </c>
      <c r="C6" s="9" t="s">
        <v>24</v>
      </c>
      <c r="D6" s="9" t="s">
        <v>25</v>
      </c>
      <c r="E6" s="11" t="n">
        <v>6.0236</v>
      </c>
      <c r="F6" s="11" t="n">
        <v>-72.0813</v>
      </c>
      <c r="G6" s="12" t="n">
        <v>0.36</v>
      </c>
      <c r="H6" s="12" t="n">
        <v>3.17</v>
      </c>
      <c r="I6" s="12" t="n">
        <v>2.07</v>
      </c>
      <c r="J6" s="13" t="n">
        <f aca="false">G6*10^I6</f>
        <v>42.296311977823</v>
      </c>
      <c r="K6" s="12" t="n">
        <v>-0.72</v>
      </c>
      <c r="L6" s="13" t="n">
        <v>4.5</v>
      </c>
      <c r="M6" s="10" t="s">
        <v>26</v>
      </c>
      <c r="N6" s="10" t="s">
        <v>21</v>
      </c>
    </row>
    <row r="7" customFormat="false" ht="15" hidden="false" customHeight="false" outlineLevel="0" collapsed="false">
      <c r="A7" s="9" t="s">
        <v>27</v>
      </c>
      <c r="B7" s="10" t="s">
        <v>28</v>
      </c>
      <c r="C7" s="9" t="s">
        <v>29</v>
      </c>
      <c r="D7" s="9" t="s">
        <v>30</v>
      </c>
      <c r="E7" s="11" t="n">
        <v>322.493</v>
      </c>
      <c r="F7" s="11" t="n">
        <v>12.167</v>
      </c>
      <c r="G7" s="12" t="n">
        <v>0.14</v>
      </c>
      <c r="H7" s="12" t="n">
        <v>1</v>
      </c>
      <c r="I7" s="12" t="n">
        <v>2.29</v>
      </c>
      <c r="J7" s="13" t="n">
        <f aca="false">G7*10^I7</f>
        <v>27.2978243966126</v>
      </c>
      <c r="K7" s="12" t="n">
        <v>-2.37</v>
      </c>
      <c r="L7" s="13" t="n">
        <v>10.4</v>
      </c>
      <c r="M7" s="10" t="s">
        <v>31</v>
      </c>
      <c r="N7" s="10" t="s">
        <v>21</v>
      </c>
    </row>
    <row r="8" customFormat="false" ht="15" hidden="false" customHeight="false" outlineLevel="0" collapsed="false">
      <c r="A8" s="9" t="s">
        <v>32</v>
      </c>
      <c r="B8" s="10" t="s">
        <v>33</v>
      </c>
      <c r="C8" s="9" t="s">
        <v>34</v>
      </c>
      <c r="D8" s="9" t="s">
        <v>35</v>
      </c>
      <c r="E8" s="11" t="n">
        <v>323.3626</v>
      </c>
      <c r="F8" s="11" t="n">
        <v>-0.8233</v>
      </c>
      <c r="G8" s="12" t="n">
        <v>0.32</v>
      </c>
      <c r="H8" s="12" t="n">
        <v>1.06</v>
      </c>
      <c r="I8" s="12" t="n">
        <v>1.59</v>
      </c>
      <c r="J8" s="13" t="n">
        <f aca="false">G8*10^I8</f>
        <v>12.449444639817</v>
      </c>
      <c r="K8" s="12" t="n">
        <v>-1.65</v>
      </c>
      <c r="L8" s="13" t="n">
        <v>11.5</v>
      </c>
      <c r="M8" s="10" t="s">
        <v>36</v>
      </c>
      <c r="N8" s="10" t="s">
        <v>21</v>
      </c>
    </row>
    <row r="9" customFormat="false" ht="15" hidden="false" customHeight="false" outlineLevel="0" collapsed="false">
      <c r="A9" s="9" t="s">
        <v>37</v>
      </c>
      <c r="B9" s="10" t="s">
        <v>38</v>
      </c>
      <c r="C9" s="9" t="s">
        <v>39</v>
      </c>
      <c r="D9" s="9" t="s">
        <v>40</v>
      </c>
      <c r="E9" s="11" t="n">
        <v>229.6384</v>
      </c>
      <c r="F9" s="11" t="n">
        <v>2.081</v>
      </c>
      <c r="G9" s="12" t="n">
        <v>0.44</v>
      </c>
      <c r="H9" s="12" t="n">
        <v>1.77</v>
      </c>
      <c r="I9" s="12" t="n">
        <v>1.73</v>
      </c>
      <c r="J9" s="13" t="n">
        <f aca="false">G9*10^I9</f>
        <v>23.6293990402911</v>
      </c>
      <c r="K9" s="12" t="n">
        <v>-1.29</v>
      </c>
      <c r="L9" s="13" t="n">
        <v>7.5</v>
      </c>
      <c r="M9" s="10" t="s">
        <v>41</v>
      </c>
      <c r="N9" s="10" t="s">
        <v>21</v>
      </c>
    </row>
    <row r="10" customFormat="false" ht="23.85" hidden="false" customHeight="false" outlineLevel="0" collapsed="false">
      <c r="A10" s="9" t="s">
        <v>42</v>
      </c>
      <c r="B10" s="10" t="s">
        <v>43</v>
      </c>
      <c r="C10" s="9" t="s">
        <v>44</v>
      </c>
      <c r="D10" s="9" t="s">
        <v>45</v>
      </c>
      <c r="E10" s="11" t="n">
        <v>279.0998</v>
      </c>
      <c r="F10" s="11" t="n">
        <v>-23.9048</v>
      </c>
      <c r="G10" s="12" t="n">
        <v>1.33</v>
      </c>
      <c r="H10" s="12" t="n">
        <v>3.36</v>
      </c>
      <c r="I10" s="12" t="n">
        <v>1.38</v>
      </c>
      <c r="J10" s="13" t="n">
        <f aca="false">G10*10^I10</f>
        <v>31.9044778229592</v>
      </c>
      <c r="K10" s="12" t="n">
        <v>-1.7</v>
      </c>
      <c r="L10" s="13" t="n">
        <v>3.2</v>
      </c>
      <c r="M10" s="10" t="s">
        <v>46</v>
      </c>
      <c r="N10" s="10" t="s">
        <v>21</v>
      </c>
    </row>
    <row r="11" customFormat="false" ht="15" hidden="false" customHeight="false" outlineLevel="0" collapsed="false">
      <c r="A11" s="9" t="s">
        <v>47</v>
      </c>
      <c r="B11" s="10" t="s">
        <v>48</v>
      </c>
      <c r="C11" s="9" t="s">
        <v>49</v>
      </c>
      <c r="D11" s="9" t="s">
        <v>50</v>
      </c>
      <c r="E11" s="11" t="n">
        <v>255.6575</v>
      </c>
      <c r="F11" s="11" t="n">
        <v>-26.268</v>
      </c>
      <c r="G11" s="12" t="n">
        <v>0.43</v>
      </c>
      <c r="H11" s="12" t="n">
        <v>1.32</v>
      </c>
      <c r="I11" s="12" t="n">
        <v>1.53</v>
      </c>
      <c r="J11" s="13" t="n">
        <f aca="false">G11*10^I11</f>
        <v>14.5702987139857</v>
      </c>
      <c r="K11" s="12" t="n">
        <v>-1.74</v>
      </c>
      <c r="L11" s="13" t="n">
        <v>8.8</v>
      </c>
      <c r="M11" s="10" t="s">
        <v>51</v>
      </c>
      <c r="N11" s="10" t="s">
        <v>21</v>
      </c>
    </row>
    <row r="12" customFormat="false" ht="15" hidden="false" customHeight="false" outlineLevel="0" collapsed="false">
      <c r="A12" s="9" t="s">
        <v>52</v>
      </c>
      <c r="B12" s="10" t="s">
        <v>53</v>
      </c>
      <c r="C12" s="9" t="s">
        <v>54</v>
      </c>
      <c r="D12" s="9" t="s">
        <v>55</v>
      </c>
      <c r="E12" s="11" t="n">
        <v>205.5484</v>
      </c>
      <c r="F12" s="11" t="n">
        <v>28.3773</v>
      </c>
      <c r="G12" s="12" t="n">
        <v>0.37</v>
      </c>
      <c r="H12" s="12" t="n">
        <v>2.31</v>
      </c>
      <c r="I12" s="12" t="n">
        <v>1.89</v>
      </c>
      <c r="J12" s="13" t="n">
        <f aca="false">G12*10^I12</f>
        <v>28.7211433152616</v>
      </c>
      <c r="K12" s="12" t="n">
        <v>-1.5</v>
      </c>
      <c r="L12" s="13" t="n">
        <v>10.2</v>
      </c>
      <c r="M12" s="10" t="s">
        <v>56</v>
      </c>
      <c r="N12" s="10" t="s">
        <v>57</v>
      </c>
    </row>
    <row r="13" customFormat="false" ht="15" hidden="false" customHeight="false" outlineLevel="0" collapsed="false">
      <c r="A13" s="9" t="s">
        <v>58</v>
      </c>
      <c r="B13" s="10"/>
      <c r="C13" s="9" t="s">
        <v>59</v>
      </c>
      <c r="D13" s="9" t="s">
        <v>60</v>
      </c>
      <c r="E13" s="11" t="n">
        <v>287.7171</v>
      </c>
      <c r="F13" s="11" t="n">
        <v>-59.9846</v>
      </c>
      <c r="G13" s="12" t="n">
        <v>0.17</v>
      </c>
      <c r="H13" s="12" t="n">
        <v>1.91</v>
      </c>
      <c r="I13" s="12" t="n">
        <v>2.5</v>
      </c>
      <c r="J13" s="13" t="n">
        <f aca="false">G13*10^I13</f>
        <v>53.7587202228625</v>
      </c>
      <c r="K13" s="12" t="n">
        <v>-1.54</v>
      </c>
      <c r="L13" s="13" t="n">
        <v>4</v>
      </c>
      <c r="M13" s="10" t="s">
        <v>61</v>
      </c>
      <c r="N13" s="10" t="s">
        <v>57</v>
      </c>
    </row>
    <row r="14" customFormat="false" ht="15" hidden="false" customHeight="false" outlineLevel="0" collapsed="false">
      <c r="A14" s="9" t="s">
        <v>62</v>
      </c>
      <c r="B14" s="10" t="s">
        <v>63</v>
      </c>
      <c r="C14" s="9" t="s">
        <v>64</v>
      </c>
      <c r="D14" s="9" t="s">
        <v>65</v>
      </c>
      <c r="E14" s="11" t="n">
        <v>294.9988</v>
      </c>
      <c r="F14" s="11" t="n">
        <v>-30.9648</v>
      </c>
      <c r="G14" s="12" t="n">
        <v>1.8</v>
      </c>
      <c r="H14" s="12" t="n">
        <v>2.83</v>
      </c>
      <c r="I14" s="12" t="n">
        <v>0.93</v>
      </c>
      <c r="J14" s="13" t="n">
        <f aca="false">G14*10^I14</f>
        <v>15.3204846876428</v>
      </c>
      <c r="K14" s="12" t="n">
        <v>-1.94</v>
      </c>
      <c r="L14" s="13" t="n">
        <v>5.4</v>
      </c>
      <c r="M14" s="10" t="s">
        <v>66</v>
      </c>
      <c r="N14" s="10" t="s">
        <v>67</v>
      </c>
    </row>
    <row r="15" customFormat="false" ht="23.85" hidden="false" customHeight="false" outlineLevel="0" collapsed="false">
      <c r="A15" s="9" t="s">
        <v>68</v>
      </c>
      <c r="B15" s="10"/>
      <c r="C15" s="9" t="s">
        <v>69</v>
      </c>
      <c r="D15" s="9" t="s">
        <v>70</v>
      </c>
      <c r="E15" s="11" t="n">
        <v>13.1885</v>
      </c>
      <c r="F15" s="11" t="n">
        <v>-26.5826</v>
      </c>
      <c r="G15" s="12" t="n">
        <v>1.35</v>
      </c>
      <c r="H15" s="12" t="n">
        <v>2.23</v>
      </c>
      <c r="I15" s="12" t="n">
        <v>0.99</v>
      </c>
      <c r="J15" s="13" t="n">
        <f aca="false">G15*10^I15</f>
        <v>13.1927024829034</v>
      </c>
      <c r="K15" s="12" t="n">
        <v>-1.32</v>
      </c>
      <c r="L15" s="13" t="n">
        <v>8.9</v>
      </c>
      <c r="M15" s="10" t="s">
        <v>71</v>
      </c>
      <c r="N15" s="10" t="s">
        <v>72</v>
      </c>
    </row>
    <row r="16" customFormat="false" ht="23.85" hidden="false" customHeight="false" outlineLevel="0" collapsed="false">
      <c r="A16" s="9" t="s">
        <v>73</v>
      </c>
      <c r="B16" s="10"/>
      <c r="C16" s="9" t="s">
        <v>74</v>
      </c>
      <c r="D16" s="9" t="s">
        <v>75</v>
      </c>
      <c r="E16" s="11" t="n">
        <v>15.8094</v>
      </c>
      <c r="F16" s="11" t="n">
        <v>-70.8488</v>
      </c>
      <c r="G16" s="12" t="n">
        <v>0.18</v>
      </c>
      <c r="H16" s="12" t="n">
        <v>0.82</v>
      </c>
      <c r="I16" s="12" t="n">
        <v>1.76</v>
      </c>
      <c r="J16" s="13" t="n">
        <f aca="false">G16*10^I16</f>
        <v>10.3579188720688</v>
      </c>
      <c r="K16" s="12" t="n">
        <v>-1.26</v>
      </c>
      <c r="L16" s="13" t="n">
        <v>8.6</v>
      </c>
      <c r="M16" s="10" t="s">
        <v>76</v>
      </c>
      <c r="N16" s="10" t="s">
        <v>77</v>
      </c>
    </row>
    <row r="17" customFormat="false" ht="23.85" hidden="false" customHeight="false" outlineLevel="0" collapsed="false">
      <c r="A17" s="9" t="s">
        <v>78</v>
      </c>
      <c r="B17" s="10"/>
      <c r="C17" s="9" t="s">
        <v>79</v>
      </c>
      <c r="D17" s="9" t="s">
        <v>80</v>
      </c>
      <c r="E17" s="11" t="n">
        <v>265.1754</v>
      </c>
      <c r="F17" s="11" t="n">
        <v>-53.6743</v>
      </c>
      <c r="G17" s="12" t="n">
        <v>0.05</v>
      </c>
      <c r="H17" s="12" t="n">
        <v>2.9</v>
      </c>
      <c r="I17" s="12" t="n">
        <v>2.5</v>
      </c>
      <c r="J17" s="13" t="n">
        <f aca="false">G17*10^I17</f>
        <v>15.8113883008419</v>
      </c>
      <c r="K17" s="12" t="n">
        <v>-2.02</v>
      </c>
      <c r="L17" s="13" t="n">
        <v>2.3</v>
      </c>
      <c r="M17" s="10" t="s">
        <v>81</v>
      </c>
      <c r="N17" s="10" t="s">
        <v>77</v>
      </c>
    </row>
    <row r="18" customFormat="false" ht="15" hidden="false" customHeight="false" outlineLevel="0" collapsed="false">
      <c r="A18" s="9" t="s">
        <v>82</v>
      </c>
      <c r="B18" s="10" t="s">
        <v>83</v>
      </c>
      <c r="C18" s="9" t="s">
        <v>84</v>
      </c>
      <c r="D18" s="9" t="s">
        <v>85</v>
      </c>
      <c r="E18" s="11" t="n">
        <v>259.2808</v>
      </c>
      <c r="F18" s="11" t="n">
        <v>43.1359</v>
      </c>
      <c r="G18" s="12" t="n">
        <v>0.26</v>
      </c>
      <c r="H18" s="12" t="n">
        <v>1.02</v>
      </c>
      <c r="I18" s="12" t="n">
        <v>1.68</v>
      </c>
      <c r="J18" s="13" t="n">
        <f aca="false">G18*10^I18</f>
        <v>12.4443824003886</v>
      </c>
      <c r="K18" s="12" t="n">
        <v>-2.31</v>
      </c>
      <c r="L18" s="13" t="n">
        <v>8.3</v>
      </c>
      <c r="M18" s="10" t="s">
        <v>86</v>
      </c>
      <c r="N18" s="10" t="s">
        <v>77</v>
      </c>
    </row>
    <row r="19" customFormat="false" ht="15" hidden="false" customHeight="false" outlineLevel="0" collapsed="false">
      <c r="A19" s="9" t="s">
        <v>87</v>
      </c>
      <c r="B19" s="10" t="s">
        <v>88</v>
      </c>
      <c r="C19" s="9" t="s">
        <v>89</v>
      </c>
      <c r="D19" s="9" t="s">
        <v>90</v>
      </c>
      <c r="E19" s="11" t="n">
        <v>198.2302</v>
      </c>
      <c r="F19" s="11" t="n">
        <v>18.1682</v>
      </c>
      <c r="G19" s="12" t="n">
        <v>0.35</v>
      </c>
      <c r="H19" s="12" t="n">
        <v>1.31</v>
      </c>
      <c r="I19" s="12" t="n">
        <v>1.72</v>
      </c>
      <c r="J19" s="13" t="n">
        <f aca="false">G19*10^I19</f>
        <v>18.368261108742</v>
      </c>
      <c r="K19" s="12" t="n">
        <v>-2.1</v>
      </c>
      <c r="L19" s="13" t="n">
        <v>17.9</v>
      </c>
      <c r="M19" s="10" t="s">
        <v>91</v>
      </c>
      <c r="N19" s="10" t="s">
        <v>77</v>
      </c>
    </row>
    <row r="20" customFormat="false" ht="23.85" hidden="false" customHeight="false" outlineLevel="0" collapsed="false">
      <c r="A20" s="9" t="s">
        <v>92</v>
      </c>
      <c r="B20" s="10"/>
      <c r="C20" s="9" t="s">
        <v>93</v>
      </c>
      <c r="D20" s="9" t="s">
        <v>94</v>
      </c>
      <c r="E20" s="11" t="n">
        <v>114.5353</v>
      </c>
      <c r="F20" s="11" t="n">
        <v>38.8824</v>
      </c>
      <c r="G20" s="12" t="n">
        <v>0.32</v>
      </c>
      <c r="H20" s="12" t="n">
        <v>0.89</v>
      </c>
      <c r="I20" s="12" t="n">
        <v>1.37</v>
      </c>
      <c r="J20" s="13" t="n">
        <f aca="false">G20*10^I20</f>
        <v>7.50153220902375</v>
      </c>
      <c r="K20" s="12" t="n">
        <v>-2.15</v>
      </c>
      <c r="L20" s="13" t="n">
        <v>82.6</v>
      </c>
      <c r="M20" s="10" t="s">
        <v>95</v>
      </c>
      <c r="N20" s="10" t="s">
        <v>77</v>
      </c>
    </row>
    <row r="21" customFormat="false" ht="15" hidden="false" customHeight="false" outlineLevel="0" collapsed="false">
      <c r="A21" s="9" t="s">
        <v>96</v>
      </c>
      <c r="B21" s="10"/>
      <c r="C21" s="9" t="s">
        <v>97</v>
      </c>
      <c r="D21" s="9" t="s">
        <v>98</v>
      </c>
      <c r="E21" s="11" t="n">
        <v>78.5282</v>
      </c>
      <c r="F21" s="11" t="n">
        <v>-40.0466</v>
      </c>
      <c r="G21" s="12" t="n">
        <v>0.09</v>
      </c>
      <c r="H21" s="12" t="n">
        <v>0.51</v>
      </c>
      <c r="I21" s="12" t="n">
        <v>1.86</v>
      </c>
      <c r="J21" s="13" t="n">
        <f aca="false">G21*10^I21</f>
        <v>6.51992364067491</v>
      </c>
      <c r="K21" s="12" t="n">
        <v>-1.18</v>
      </c>
      <c r="L21" s="13" t="n">
        <v>12.1</v>
      </c>
      <c r="M21" s="10" t="s">
        <v>99</v>
      </c>
      <c r="N21" s="10" t="s">
        <v>77</v>
      </c>
    </row>
    <row r="22" customFormat="false" ht="23.85" hidden="false" customHeight="false" outlineLevel="0" collapsed="false">
      <c r="A22" s="9" t="s">
        <v>100</v>
      </c>
      <c r="B22" s="10" t="s">
        <v>101</v>
      </c>
      <c r="C22" s="9" t="s">
        <v>102</v>
      </c>
      <c r="D22" s="9" t="s">
        <v>103</v>
      </c>
      <c r="E22" s="11" t="n">
        <v>255.3033</v>
      </c>
      <c r="F22" s="11" t="n">
        <v>-30.1137</v>
      </c>
      <c r="G22" s="12" t="n">
        <v>0.22</v>
      </c>
      <c r="H22" s="12" t="n">
        <v>0.92</v>
      </c>
      <c r="I22" s="12" t="n">
        <v>1.71</v>
      </c>
      <c r="J22" s="13" t="n">
        <f aca="false">G22*10^I22</f>
        <v>11.28295044781</v>
      </c>
      <c r="K22" s="12" t="n">
        <v>-1.18</v>
      </c>
      <c r="L22" s="13" t="n">
        <v>6.8</v>
      </c>
      <c r="M22" s="10" t="s">
        <v>104</v>
      </c>
      <c r="N22" s="10" t="s">
        <v>77</v>
      </c>
    </row>
    <row r="23" customFormat="false" ht="23.85" hidden="false" customHeight="false" outlineLevel="0" collapsed="false">
      <c r="A23" s="9" t="s">
        <v>105</v>
      </c>
      <c r="B23" s="10"/>
      <c r="C23" s="9" t="s">
        <v>106</v>
      </c>
      <c r="D23" s="9" t="s">
        <v>107</v>
      </c>
      <c r="E23" s="11" t="n">
        <v>267.02</v>
      </c>
      <c r="F23" s="11" t="n">
        <v>-24.7792</v>
      </c>
      <c r="G23" s="12" t="n">
        <v>0.16</v>
      </c>
      <c r="H23" s="12" t="n">
        <v>0.72</v>
      </c>
      <c r="I23" s="12" t="n">
        <v>1.62</v>
      </c>
      <c r="J23" s="13" t="n">
        <f aca="false">G23*10^I23</f>
        <v>6.66991013552537</v>
      </c>
      <c r="K23" s="12" t="n">
        <v>-0.23</v>
      </c>
      <c r="L23" s="13" t="n">
        <v>6.9</v>
      </c>
      <c r="M23" s="10" t="s">
        <v>108</v>
      </c>
      <c r="N23" s="10" t="s">
        <v>77</v>
      </c>
    </row>
    <row r="24" customFormat="false" ht="15" hidden="false" customHeight="false" outlineLevel="0" collapsed="false">
      <c r="A24" s="9" t="s">
        <v>109</v>
      </c>
      <c r="B24" s="10"/>
      <c r="C24" s="9" t="s">
        <v>110</v>
      </c>
      <c r="D24" s="9" t="s">
        <v>111</v>
      </c>
      <c r="E24" s="11" t="n">
        <v>267.2196</v>
      </c>
      <c r="F24" s="11" t="n">
        <v>-20.3603</v>
      </c>
      <c r="G24" s="12" t="n">
        <v>0.14</v>
      </c>
      <c r="H24" s="12" t="n">
        <v>0.48</v>
      </c>
      <c r="I24" s="12" t="n">
        <v>1.62</v>
      </c>
      <c r="J24" s="13" t="n">
        <f aca="false">G24*10^I24</f>
        <v>5.8361713685847</v>
      </c>
      <c r="K24" s="12" t="n">
        <v>-0.36</v>
      </c>
      <c r="L24" s="13" t="n">
        <v>8.5</v>
      </c>
      <c r="M24" s="10" t="s">
        <v>112</v>
      </c>
      <c r="N24" s="10" t="s">
        <v>77</v>
      </c>
    </row>
    <row r="25" customFormat="false" ht="23.85" hidden="false" customHeight="false" outlineLevel="0" collapsed="false">
      <c r="A25" s="9" t="s">
        <v>113</v>
      </c>
      <c r="B25" s="10"/>
      <c r="C25" s="9" t="s">
        <v>114</v>
      </c>
      <c r="D25" s="9" t="s">
        <v>115</v>
      </c>
      <c r="E25" s="11" t="n">
        <v>206.6117</v>
      </c>
      <c r="F25" s="11" t="n">
        <v>-51.3743</v>
      </c>
      <c r="G25" s="12" t="n">
        <v>0.28</v>
      </c>
      <c r="H25" s="12" t="n">
        <v>0.73</v>
      </c>
      <c r="I25" s="12" t="n">
        <v>1.41</v>
      </c>
      <c r="J25" s="13" t="n">
        <f aca="false">G25*10^I25</f>
        <v>7.19710819175282</v>
      </c>
      <c r="K25" s="12" t="n">
        <v>-1.69</v>
      </c>
      <c r="L25" s="13" t="n">
        <v>11.7</v>
      </c>
      <c r="M25" s="10" t="s">
        <v>116</v>
      </c>
      <c r="N25" s="10" t="s">
        <v>77</v>
      </c>
    </row>
    <row r="26" customFormat="false" ht="15" hidden="false" customHeight="false" outlineLevel="0" collapsed="false">
      <c r="A26" s="9" t="s">
        <v>117</v>
      </c>
      <c r="B26" s="10" t="s">
        <v>118</v>
      </c>
      <c r="C26" s="9" t="s">
        <v>119</v>
      </c>
      <c r="D26" s="9" t="s">
        <v>120</v>
      </c>
      <c r="E26" s="11" t="n">
        <v>245.8968</v>
      </c>
      <c r="F26" s="11" t="n">
        <v>-26.5258</v>
      </c>
      <c r="G26" s="12" t="n">
        <v>1.16</v>
      </c>
      <c r="H26" s="12" t="n">
        <v>4.33</v>
      </c>
      <c r="I26" s="12" t="n">
        <v>1.65</v>
      </c>
      <c r="J26" s="13" t="n">
        <f aca="false">G26*10^I26</f>
        <v>51.8152966895117</v>
      </c>
      <c r="K26" s="12" t="n">
        <v>-1.16</v>
      </c>
      <c r="L26" s="13" t="n">
        <v>2.2</v>
      </c>
      <c r="M26" s="10" t="s">
        <v>121</v>
      </c>
      <c r="N26" s="10" t="s">
        <v>77</v>
      </c>
    </row>
    <row r="27" customFormat="false" ht="23.85" hidden="false" customHeight="false" outlineLevel="0" collapsed="false">
      <c r="A27" s="9" t="s">
        <v>122</v>
      </c>
      <c r="B27" s="10"/>
      <c r="C27" s="9" t="s">
        <v>123</v>
      </c>
      <c r="D27" s="9" t="s">
        <v>124</v>
      </c>
      <c r="E27" s="11" t="n">
        <v>229.0219</v>
      </c>
      <c r="F27" s="11" t="n">
        <v>-0.1116</v>
      </c>
      <c r="G27" s="12" t="n">
        <v>2.29</v>
      </c>
      <c r="H27" s="12" t="n">
        <v>2.73</v>
      </c>
      <c r="I27" s="12" t="n">
        <v>0.52</v>
      </c>
      <c r="J27" s="13" t="n">
        <f aca="false">G27*10^I27</f>
        <v>7.58290268195134</v>
      </c>
      <c r="K27" s="12" t="n">
        <v>-1.41</v>
      </c>
      <c r="L27" s="13" t="n">
        <v>23.2</v>
      </c>
      <c r="M27" s="10" t="s">
        <v>125</v>
      </c>
      <c r="N27" s="10" t="s">
        <v>77</v>
      </c>
    </row>
    <row r="28" customFormat="false" ht="23.85" hidden="false" customHeight="false" outlineLevel="0" collapsed="false">
      <c r="A28" s="9" t="s">
        <v>126</v>
      </c>
      <c r="B28" s="10"/>
      <c r="C28" s="9" t="s">
        <v>127</v>
      </c>
      <c r="D28" s="9" t="s">
        <v>128</v>
      </c>
      <c r="E28" s="11" t="n">
        <v>271.8358</v>
      </c>
      <c r="F28" s="11" t="n">
        <v>-24.9973</v>
      </c>
      <c r="G28" s="12" t="n">
        <v>0.05</v>
      </c>
      <c r="H28" s="12" t="n">
        <v>1.21</v>
      </c>
      <c r="I28" s="12" t="n">
        <v>1.63</v>
      </c>
      <c r="J28" s="13" t="n">
        <f aca="false">G28*10^I28</f>
        <v>2.13289759400796</v>
      </c>
      <c r="K28" s="12" t="n">
        <v>-1.4</v>
      </c>
      <c r="L28" s="13" t="n">
        <v>3</v>
      </c>
      <c r="M28" s="10" t="s">
        <v>129</v>
      </c>
      <c r="N28" s="10" t="s">
        <v>77</v>
      </c>
    </row>
    <row r="30" customFormat="false" ht="15" hidden="false" customHeight="false" outlineLevel="0" collapsed="false">
      <c r="A30" s="14" t="s">
        <v>130</v>
      </c>
    </row>
    <row r="31" customFormat="false" ht="15" hidden="false" customHeight="false" outlineLevel="0" collapsed="false">
      <c r="A31" s="2" t="s">
        <v>131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customFormat="false" ht="15" hidden="false" customHeight="false" outlineLevel="0" collapsed="false">
      <c r="A32" s="2" t="s">
        <v>132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2" t="s">
        <v>133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customFormat="false" ht="15" hidden="false" customHeight="false" outlineLevel="0" collapsed="false">
      <c r="A34" s="2" t="s">
        <v>134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customFormat="false" ht="15" hidden="false" customHeight="false" outlineLevel="0" collapsed="false">
      <c r="A35" s="2" t="s">
        <v>135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7">
    <mergeCell ref="A1:N1"/>
    <mergeCell ref="A2:N2"/>
    <mergeCell ref="A31:N31"/>
    <mergeCell ref="A32:N32"/>
    <mergeCell ref="A33:N33"/>
    <mergeCell ref="A34:N34"/>
    <mergeCell ref="A35:N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2026-07-12T01:14:08Z</dcterms:created>
  <dc:creator>openpyxl</dc:creator>
  <dc:description/>
  <dc:language>en-US</dc:language>
  <cp:lastModifiedBy/>
  <dcterms:modified xsi:type="dcterms:W3CDTF">2026-07-12T01:14:08Z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